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 Profile" sheetId="1" state="visible" r:id="rId1"/>
    <sheet name="Holdings" sheetId="2" state="visible" r:id="rId2"/>
    <sheet name="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$#,##0.00;($#,##0.00);-"/>
    <numFmt numFmtId="166" formatCode="0.0%;(0.0%);-"/>
    <numFmt numFmtId="167" formatCode="0.00%;-"/>
    <numFmt numFmtId="168" formatCode="0.0"/>
    <numFmt numFmtId="169" formatCode="#,##0.000"/>
    <numFmt numFmtId="170" formatCode="$#,##0.0000"/>
  </numFmts>
  <fonts count="11">
    <font>
      <name val="Calibri"/>
      <family val="2"/>
      <color theme="1"/>
      <sz val="11"/>
      <scheme val="minor"/>
    </font>
    <font>
      <name val="Consolas"/>
      <b val="1"/>
      <color rgb="00F4C430"/>
      <sz val="14"/>
    </font>
    <font>
      <name val="Consolas"/>
      <b val="1"/>
      <color rgb="00F4C430"/>
      <sz val="12"/>
    </font>
    <font>
      <name val="Consolas"/>
      <b val="1"/>
      <color rgb="00F4C430"/>
      <sz val="10"/>
    </font>
    <font>
      <name val="Consolas"/>
      <color rgb="00E6EDF3"/>
      <sz val="10"/>
    </font>
    <font>
      <name val="Consolas"/>
      <color rgb="000000FF"/>
      <sz val="10"/>
    </font>
    <font>
      <name val="Consolas"/>
      <i val="1"/>
      <color rgb="008B949E"/>
      <sz val="9"/>
    </font>
    <font>
      <name val="Consolas"/>
      <color rgb="00000000"/>
      <sz val="10"/>
    </font>
    <font>
      <name val="Consolas"/>
      <b val="1"/>
      <color rgb="00000000"/>
      <sz val="10"/>
    </font>
    <font>
      <name val="Consolas"/>
      <i val="1"/>
      <color rgb="00555500"/>
      <sz val="10"/>
    </font>
    <font>
      <name val="Consolas"/>
      <b val="1"/>
      <color rgb="00007700"/>
      <sz val="10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21262D"/>
      </patternFill>
    </fill>
    <fill>
      <patternFill patternType="solid">
        <fgColor rgb="001C2128"/>
      </patternFill>
    </fill>
    <fill>
      <patternFill patternType="solid">
        <fgColor rgb="00FFF8DC"/>
      </patternFill>
    </fill>
    <fill>
      <patternFill patternType="solid">
        <fgColor rgb="00161B22"/>
      </patternFill>
    </fill>
    <fill>
      <patternFill patternType="solid">
        <fgColor rgb="00FFFF00"/>
      </patternFill>
    </fill>
    <fill>
      <patternFill patternType="solid">
        <fgColor rgb="00E8FFE8"/>
      </patternFill>
    </fill>
  </fills>
  <borders count="6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  <border>
      <left/>
      <right/>
      <top style="thin">
        <color rgb="0030363D"/>
      </top>
      <bottom style="thin">
        <color rgb="0030363D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6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49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167" fontId="7" fillId="2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7" fontId="7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0" fillId="3" borderId="1" pivotButton="0" quotePrefix="0" xfId="0"/>
    <xf numFmtId="10" fontId="5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169" fontId="5" fillId="5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9" fillId="7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42" customWidth="1" min="3" max="3"/>
  </cols>
  <sheetData>
    <row r="1" ht="36" customHeight="1">
      <c r="A1" s="1" t="inlineStr">
        <is>
          <t>💼  INVESTOR ROUNDTABLE — PORTFOLIO CONTEXT</t>
        </is>
      </c>
    </row>
    <row r="2" ht="14" customHeight="1"/>
    <row r="3" ht="24" customHeight="1">
      <c r="A3" s="2" t="inlineStr">
        <is>
          <t xml:space="preserve">  SECTION 1 — PERSONAL GOALS &amp; CONSTRAINTS</t>
        </is>
      </c>
    </row>
    <row r="4" ht="20" customHeight="1">
      <c r="A4" s="3" t="inlineStr">
        <is>
          <t>Field</t>
        </is>
      </c>
      <c r="B4" s="3" t="inlineStr">
        <is>
          <t>Your Value</t>
        </is>
      </c>
      <c r="C4" s="3" t="inlineStr">
        <is>
          <t>Notes / Instructions</t>
        </is>
      </c>
    </row>
    <row r="5" ht="18" customHeight="1">
      <c r="A5" s="4" t="inlineStr">
        <is>
          <t>Investor Name</t>
        </is>
      </c>
      <c r="B5" s="5" t="inlineStr">
        <is>
          <t>John</t>
        </is>
      </c>
      <c r="C5" s="6" t="inlineStr">
        <is>
          <t>Your first name — used to personalize responses</t>
        </is>
      </c>
    </row>
    <row r="6" ht="18" customHeight="1">
      <c r="A6" s="4" t="inlineStr">
        <is>
          <t>Guaranteed Monthly Income ($)</t>
        </is>
      </c>
      <c r="B6" s="5" t="inlineStr">
        <is>
          <t>2400</t>
        </is>
      </c>
      <c r="C6" s="6" t="inlineStr">
        <is>
          <t>Govt benefit, pension, or other guaranteed floor (pre-tax)</t>
        </is>
      </c>
    </row>
    <row r="7" ht="18" customHeight="1">
      <c r="A7" s="4" t="inlineStr">
        <is>
          <t>Monthly Income Gap to Cover ($)</t>
        </is>
      </c>
      <c r="B7" s="5" t="inlineStr">
        <is>
          <t>1800</t>
        </is>
      </c>
      <c r="C7" s="6" t="inlineStr">
        <is>
          <t>How much your portfolio must generate at retirement</t>
        </is>
      </c>
    </row>
    <row r="8" ht="18" customHeight="1">
      <c r="A8" s="4" t="inlineStr">
        <is>
          <t>Retirement Timeline (years)</t>
        </is>
      </c>
      <c r="B8" s="5" t="inlineStr">
        <is>
          <t>30</t>
        </is>
      </c>
      <c r="C8" s="6" t="inlineStr">
        <is>
          <t>Years until you plan to retire</t>
        </is>
      </c>
    </row>
    <row r="9" ht="18" customHeight="1">
      <c r="A9" s="4" t="inlineStr">
        <is>
          <t>Current Age</t>
        </is>
      </c>
      <c r="B9" s="5" t="inlineStr">
        <is>
          <t>30</t>
        </is>
      </c>
      <c r="C9" s="6" t="inlineStr">
        <is>
          <t>Your current age</t>
        </is>
      </c>
    </row>
    <row r="10" ht="18" customHeight="1">
      <c r="A10" s="4" t="inlineStr">
        <is>
          <t>Federal Tax Bracket</t>
        </is>
      </c>
      <c r="B10" s="5" t="inlineStr">
        <is>
          <t>22%</t>
        </is>
      </c>
      <c r="C10" s="6" t="inlineStr">
        <is>
          <t>Current marginal rate — affects account strategy advice</t>
        </is>
      </c>
    </row>
    <row r="11" ht="18" customHeight="1">
      <c r="A11" s="4" t="inlineStr">
        <is>
          <t>State (for tax context)</t>
        </is>
      </c>
      <c r="B11" s="5" t="inlineStr">
        <is>
          <t>FL</t>
        </is>
      </c>
      <c r="C11" s="6" t="inlineStr">
        <is>
          <t>FL = no state income tax; TX also no state tax</t>
        </is>
      </c>
    </row>
    <row r="12" ht="18" customHeight="1">
      <c r="A12" s="4" t="inlineStr">
        <is>
          <t>Risk Tolerance</t>
        </is>
      </c>
      <c r="B12" s="5" t="inlineStr">
        <is>
          <t>Moderate-Aggressive</t>
        </is>
      </c>
      <c r="C12" s="6" t="inlineStr">
        <is>
          <t>Conservative / Moderate / Moderate-Aggressive / Aggressive</t>
        </is>
      </c>
    </row>
    <row r="13" ht="18" customHeight="1">
      <c r="A13" s="4" t="inlineStr">
        <is>
          <t>Investment Style Preference</t>
        </is>
      </c>
      <c r="B13" s="5" t="inlineStr">
        <is>
          <t>Dividend Growth + Long-Term Growth</t>
        </is>
      </c>
      <c r="C13" s="6" t="inlineStr">
        <is>
          <t>Describe your general preference</t>
        </is>
      </c>
    </row>
    <row r="14" ht="18" customHeight="1">
      <c r="A14" s="4" t="inlineStr">
        <is>
          <t>Hard Constraints</t>
        </is>
      </c>
      <c r="B14" s="5" t="inlineStr">
        <is>
          <t>No crypto, no options, no leveraged ETFs</t>
        </is>
      </c>
      <c r="C14" s="6" t="inlineStr">
        <is>
          <t>Things you will NEVER invest in</t>
        </is>
      </c>
    </row>
    <row r="15" ht="18" customHeight="1">
      <c r="A15" s="4" t="inlineStr">
        <is>
          <t>Employer 401k Match</t>
        </is>
      </c>
      <c r="B15" s="5" t="inlineStr">
        <is>
          <t>6%</t>
        </is>
      </c>
      <c r="C15" s="6" t="inlineStr">
        <is>
          <t>Percent your employer matches — max this first</t>
        </is>
      </c>
    </row>
    <row r="16" ht="18" customHeight="1">
      <c r="A16" s="4" t="inlineStr">
        <is>
          <t>Emergency Fund Status</t>
        </is>
      </c>
      <c r="B16" s="5" t="inlineStr">
        <is>
          <t>Fully funded</t>
        </is>
      </c>
      <c r="C16" s="6" t="inlineStr">
        <is>
          <t>Funded / Partial / Not funded</t>
        </is>
      </c>
    </row>
    <row r="18" ht="24" customHeight="1">
      <c r="A18" s="2" t="inlineStr">
        <is>
          <t xml:space="preserve">  SECTION 2 — ACCOUNT GOALS</t>
        </is>
      </c>
    </row>
    <row r="19" ht="20" customHeight="1">
      <c r="A19" s="3" t="inlineStr">
        <is>
          <t>Account Type</t>
        </is>
      </c>
      <c r="B19" s="3" t="inlineStr">
        <is>
          <t>Primary Goal</t>
        </is>
      </c>
      <c r="C19" s="3" t="inlineStr">
        <is>
          <t>Notes</t>
        </is>
      </c>
    </row>
    <row r="20" ht="18" customHeight="1">
      <c r="A20" s="4" t="inlineStr">
        <is>
          <t>Taxable Brokerage</t>
        </is>
      </c>
      <c r="B20" s="5" t="inlineStr">
        <is>
          <t>Dividend income + capital preservation</t>
        </is>
      </c>
      <c r="C20" s="6" t="inlineStr">
        <is>
          <t>May need access within 5 years — capital preservation priority</t>
        </is>
      </c>
    </row>
    <row r="21" ht="18" customHeight="1">
      <c r="A21" s="4" t="inlineStr">
        <is>
          <t>Roth IRA</t>
        </is>
      </c>
      <c r="B21" s="5" t="inlineStr">
        <is>
          <t>Long-term aggressive growth</t>
        </is>
      </c>
      <c r="C21" s="6" t="inlineStr">
        <is>
          <t>30-year horizon, tax-free growth — take more risk here</t>
        </is>
      </c>
    </row>
    <row r="22" ht="18" customHeight="1">
      <c r="A22" s="4" t="inlineStr">
        <is>
          <t>401k (if applicable)</t>
        </is>
      </c>
      <c r="B22" s="5" t="inlineStr">
        <is>
          <t>Broad index fund growth</t>
        </is>
      </c>
      <c r="C22" s="6" t="inlineStr">
        <is>
          <t>Match first, then fill Roth IRA, then fill 401k beyond match</t>
        </is>
      </c>
    </row>
    <row r="23" ht="18" customHeight="1">
      <c r="A23" s="4" t="inlineStr">
        <is>
          <t>HSA (if applicable)</t>
        </is>
      </c>
      <c r="B23" s="5" t="inlineStr">
        <is>
          <t>Triple tax-advantaged medical/retire</t>
        </is>
      </c>
      <c r="C23" s="6" t="inlineStr">
        <is>
          <t>Invest aggressively if not spending; treat like Roth IRA</t>
        </is>
      </c>
    </row>
    <row r="25" ht="24" customHeight="1">
      <c r="A25" s="2" t="inlineStr">
        <is>
          <t xml:space="preserve">  SECTION 3 — YOUR INVESTING PHILOSOPHY (Free Text)</t>
        </is>
      </c>
    </row>
    <row r="26" ht="20" customHeight="1">
      <c r="A26" s="3" t="inlineStr">
        <is>
          <t>Topic</t>
        </is>
      </c>
      <c r="B26" s="3" t="inlineStr">
        <is>
          <t>Your Notes</t>
        </is>
      </c>
      <c r="C26" s="3" t="inlineStr"/>
    </row>
    <row r="27" ht="22" customHeight="1">
      <c r="A27" s="4" t="inlineStr">
        <is>
          <t>Why you invest</t>
        </is>
      </c>
      <c r="B27" s="7" t="inlineStr">
        <is>
          <t>Replace earned income with portfolio income by retirement</t>
        </is>
      </c>
      <c r="C27" s="8" t="n"/>
    </row>
    <row r="28" ht="22" customHeight="1">
      <c r="A28" s="4" t="inlineStr">
        <is>
          <t>North star metric</t>
        </is>
      </c>
      <c r="B28" s="7" t="inlineStr">
        <is>
          <t>Dividend income replacing monthly income gap of ~$1,800/mo</t>
        </is>
      </c>
      <c r="C28" s="8" t="n"/>
    </row>
    <row r="29" ht="22" customHeight="1">
      <c r="A29" s="4" t="inlineStr">
        <is>
          <t>Valuation approach</t>
        </is>
      </c>
      <c r="B29" s="7" t="inlineStr">
        <is>
          <t>Geraldine Weiss dividend yield method + Buffett moat analysis</t>
        </is>
      </c>
      <c r="C29" s="8" t="n"/>
    </row>
    <row r="30" ht="22" customHeight="1">
      <c r="A30" s="4" t="inlineStr">
        <is>
          <t>Biggest fear</t>
        </is>
      </c>
      <c r="B30" s="7" t="inlineStr">
        <is>
          <t>Sequence of returns risk in early retirement</t>
        </is>
      </c>
      <c r="C30" s="8" t="n"/>
    </row>
    <row r="31" ht="22" customHeight="1">
      <c r="A31" s="4" t="inlineStr">
        <is>
          <t>Additional context</t>
        </is>
      </c>
      <c r="B31" s="7" t="inlineStr">
        <is>
          <t>Govt benefit provides inflation-adjusted floor so portfolio only covers the gap</t>
        </is>
      </c>
      <c r="C31" s="8" t="n"/>
    </row>
    <row r="33">
      <c r="A33" s="9" t="inlineStr">
        <is>
          <t xml:space="preserve">  LEGEND:   Blue text = input cells you should edit   |   Gray italic = instructions (do not edit)</t>
        </is>
      </c>
    </row>
  </sheetData>
  <mergeCells count="10">
    <mergeCell ref="A25:C25"/>
    <mergeCell ref="B30:C30"/>
    <mergeCell ref="A33:C33"/>
    <mergeCell ref="B29:C29"/>
    <mergeCell ref="A1:C1"/>
    <mergeCell ref="B28:C28"/>
    <mergeCell ref="A18:C18"/>
    <mergeCell ref="A3:C3"/>
    <mergeCell ref="B31:C31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8" customWidth="1" min="4" max="4"/>
    <col width="20" customWidth="1" min="5" max="5"/>
    <col width="20" customWidth="1" min="6" max="6"/>
    <col width="18" customWidth="1" min="7" max="7"/>
    <col width="16" customWidth="1" min="8" max="8"/>
    <col width="14" customWidth="1" min="9" max="9"/>
    <col width="18" customWidth="1" min="10" max="10"/>
    <col width="16" customWidth="1" min="11" max="11"/>
    <col width="16" customWidth="1" min="12" max="12"/>
    <col width="28" customWidth="1" min="13" max="13"/>
    <col width="18" customWidth="1" min="14" max="14"/>
    <col width="36" customWidth="1" min="15" max="15"/>
  </cols>
  <sheetData>
    <row r="1" ht="36" customHeight="1">
      <c r="A1" s="1" t="inlineStr">
        <is>
          <t>💼  HOLDINGS — INVESTOR ROUNDTABLE CONTEXT</t>
        </is>
      </c>
    </row>
    <row r="2" ht="14" customHeight="1"/>
    <row r="3" ht="18" customHeight="1">
      <c r="A3" s="10" t="inlineStr">
        <is>
          <t xml:space="preserve">  Blue = enter manually  |  Yellow = fetched live by app at startup  |  Black = auto-calculated formulas</t>
        </is>
      </c>
    </row>
    <row r="4" ht="22" customHeight="1">
      <c r="A4" s="3" t="inlineStr">
        <is>
          <t>Ticker</t>
        </is>
      </c>
      <c r="B4" s="3" t="inlineStr">
        <is>
          <t>Account</t>
        </is>
      </c>
      <c r="C4" s="3" t="inlineStr">
        <is>
          <t>Shares</t>
        </is>
      </c>
      <c r="D4" s="3" t="inlineStr">
        <is>
          <t>Cost Basis ($/sh)</t>
        </is>
      </c>
      <c r="E4" s="3" t="inlineStr">
        <is>
          <t>Current Price ($/sh)</t>
        </is>
      </c>
      <c r="F4" s="3" t="inlineStr">
        <is>
          <t>Total Cost Basis ($)</t>
        </is>
      </c>
      <c r="G4" s="3" t="inlineStr">
        <is>
          <t>Current Value ($)</t>
        </is>
      </c>
      <c r="H4" s="3" t="inlineStr">
        <is>
          <t>Gain/Loss ($)</t>
        </is>
      </c>
      <c r="I4" s="3" t="inlineStr">
        <is>
          <t>Gain/Loss %</t>
        </is>
      </c>
      <c r="J4" s="3" t="inlineStr">
        <is>
          <t>Annual Dividend/sh</t>
        </is>
      </c>
      <c r="K4" s="3" t="inlineStr">
        <is>
          <t>Dividend Yield %</t>
        </is>
      </c>
      <c r="L4" s="3" t="inlineStr">
        <is>
          <t>Annual Income ($)</t>
        </is>
      </c>
      <c r="M4" s="3" t="inlineStr">
        <is>
          <t>Investment Goal</t>
        </is>
      </c>
      <c r="N4" s="3" t="inlineStr">
        <is>
          <t>Hold / Watch / Sell</t>
        </is>
      </c>
      <c r="O4" s="3" t="inlineStr">
        <is>
          <t>Notes</t>
        </is>
      </c>
    </row>
    <row r="5" ht="18" customHeight="1">
      <c r="A5" s="11" t="inlineStr">
        <is>
          <t>O</t>
        </is>
      </c>
      <c r="B5" s="11" t="inlineStr">
        <is>
          <t>Roth 401k</t>
        </is>
      </c>
      <c r="C5" s="31" t="n">
        <v>30.4</v>
      </c>
      <c r="D5" s="13" t="n">
        <v>60.12</v>
      </c>
      <c r="E5" s="35" t="n">
        <v>61.12</v>
      </c>
      <c r="F5" s="14">
        <f>C5*D5</f>
        <v/>
      </c>
      <c r="G5" s="14">
        <f>C5*E5</f>
        <v/>
      </c>
      <c r="H5" s="15">
        <f>G5-F5</f>
        <v/>
      </c>
      <c r="I5" s="16">
        <f>IF(F5=0,"-",(G5-F5)/F5)</f>
        <v/>
      </c>
      <c r="J5" s="32" t="n">
        <v>3.0015</v>
      </c>
      <c r="K5" s="17">
        <f>IF(E5=0,"-",J5/E5)</f>
        <v/>
      </c>
      <c r="L5" s="14">
        <f>C5*J5</f>
        <v/>
      </c>
      <c r="M5" s="11" t="inlineStr">
        <is>
          <t>Monthly dividend income</t>
        </is>
      </c>
      <c r="N5" s="11" t="inlineStr">
        <is>
          <t>Hold</t>
        </is>
      </c>
      <c r="O5" s="11" t="inlineStr">
        <is>
          <t>Monthly REIT dividend — Weiss core holding</t>
        </is>
      </c>
    </row>
    <row r="6" ht="18" customHeight="1">
      <c r="A6" s="11" t="inlineStr">
        <is>
          <t>MSFT</t>
        </is>
      </c>
      <c r="B6" s="11" t="inlineStr">
        <is>
          <t>Roth 401k</t>
        </is>
      </c>
      <c r="C6" s="31" t="n">
        <v>10.815</v>
      </c>
      <c r="D6" s="13" t="n">
        <v>369.46</v>
      </c>
      <c r="E6" s="35" t="n">
        <v>421.92</v>
      </c>
      <c r="F6" s="18">
        <f>C6*D6</f>
        <v/>
      </c>
      <c r="G6" s="18">
        <f>C6*E6</f>
        <v/>
      </c>
      <c r="H6" s="19">
        <f>G6-F6</f>
        <v/>
      </c>
      <c r="I6" s="20">
        <f>IF(F6=0,"-",(G6-F6)/F6)</f>
        <v/>
      </c>
      <c r="J6" s="32" t="n">
        <v>3.8115</v>
      </c>
      <c r="K6" s="21">
        <f>IF(E6=0,"-",J6/E6)</f>
        <v/>
      </c>
      <c r="L6" s="18">
        <f>C6*J6</f>
        <v/>
      </c>
      <c r="M6" s="11" t="inlineStr">
        <is>
          <t>Long-term growth</t>
        </is>
      </c>
      <c r="N6" s="11" t="inlineStr">
        <is>
          <t>Hold</t>
        </is>
      </c>
      <c r="O6" s="11" t="inlineStr">
        <is>
          <t>Agentic AI / Copilot thesis</t>
        </is>
      </c>
    </row>
    <row r="7" ht="18" customHeight="1">
      <c r="A7" s="11" t="inlineStr">
        <is>
          <t>VICI</t>
        </is>
      </c>
      <c r="B7" s="11" t="inlineStr">
        <is>
          <t>Roth 401k</t>
        </is>
      </c>
      <c r="C7" s="31" t="n">
        <v>53</v>
      </c>
      <c r="D7" s="13" t="n">
        <v>27.47</v>
      </c>
      <c r="E7" s="35" t="n">
        <v>27.9</v>
      </c>
      <c r="F7" s="14">
        <f>C7*D7</f>
        <v/>
      </c>
      <c r="G7" s="14">
        <f>C7*E7</f>
        <v/>
      </c>
      <c r="H7" s="15">
        <f>G7-F7</f>
        <v/>
      </c>
      <c r="I7" s="16">
        <f>IF(F7=0,"-",(G7-F7)/F7)</f>
        <v/>
      </c>
      <c r="J7" s="32" t="n">
        <v>1.8821</v>
      </c>
      <c r="K7" s="17">
        <f>IF(E7=0,"-",J7/E7)</f>
        <v/>
      </c>
      <c r="L7" s="14">
        <f>C7*J7</f>
        <v/>
      </c>
      <c r="M7" s="11" t="inlineStr">
        <is>
          <t>Dividend income — REIT</t>
        </is>
      </c>
      <c r="N7" s="11" t="inlineStr">
        <is>
          <t>Hold</t>
        </is>
      </c>
      <c r="O7" s="11" t="inlineStr">
        <is>
          <t>Gaming REIT — evaluate with Weiss method</t>
        </is>
      </c>
    </row>
    <row r="8" ht="18" customHeight="1">
      <c r="A8" s="11" t="inlineStr">
        <is>
          <t>PFE</t>
        </is>
      </c>
      <c r="B8" s="11" t="inlineStr">
        <is>
          <t>Taxable Brokerage</t>
        </is>
      </c>
      <c r="C8" s="31" t="n">
        <v>40</v>
      </c>
      <c r="D8" s="13" t="n">
        <v>28.22</v>
      </c>
      <c r="E8" s="35" t="n">
        <v>25.33</v>
      </c>
      <c r="F8" s="18">
        <f>C8*D8</f>
        <v/>
      </c>
      <c r="G8" s="18">
        <f>C8*E8</f>
        <v/>
      </c>
      <c r="H8" s="19">
        <f>G8-F8</f>
        <v/>
      </c>
      <c r="I8" s="20">
        <f>IF(F8=0,"-",(G8-F8)/F8)</f>
        <v/>
      </c>
      <c r="J8" s="32" t="n">
        <v>1.6555</v>
      </c>
      <c r="K8" s="21">
        <f>IF(E8=0,"-",J8/E8)</f>
        <v/>
      </c>
      <c r="L8" s="18">
        <f>C8*J8</f>
        <v/>
      </c>
      <c r="M8" s="11" t="inlineStr">
        <is>
          <t>Dividend income</t>
        </is>
      </c>
      <c r="N8" s="11" t="inlineStr">
        <is>
          <t>Watch</t>
        </is>
      </c>
      <c r="O8" s="11" t="inlineStr">
        <is>
          <t>High yield — monitor payout ratio and pipeline</t>
        </is>
      </c>
    </row>
    <row r="9" ht="18" customHeight="1">
      <c r="A9" s="11" t="inlineStr">
        <is>
          <t>GIS</t>
        </is>
      </c>
      <c r="B9" s="11" t="inlineStr">
        <is>
          <t>Taxable Brokerage</t>
        </is>
      </c>
      <c r="C9" s="31" t="n">
        <v>30</v>
      </c>
      <c r="D9" s="13" t="n">
        <v>36.98</v>
      </c>
      <c r="E9" s="35" t="n">
        <v>32.99</v>
      </c>
      <c r="F9" s="14">
        <f>C9*D9</f>
        <v/>
      </c>
      <c r="G9" s="14">
        <f>C9*E9</f>
        <v/>
      </c>
      <c r="H9" s="15">
        <f>G9-F9</f>
        <v/>
      </c>
      <c r="I9" s="16">
        <f>IF(F9=0,"-",(G9-F9)/F9)</f>
        <v/>
      </c>
      <c r="J9" s="32" t="n">
        <v>2.46</v>
      </c>
      <c r="K9" s="17">
        <f>IF(E9=0,"-",J9/E9)</f>
        <v/>
      </c>
      <c r="L9" s="14">
        <f>C9*J9</f>
        <v/>
      </c>
      <c r="M9" s="11" t="inlineStr">
        <is>
          <t>Dividend income</t>
        </is>
      </c>
      <c r="N9" s="11" t="inlineStr">
        <is>
          <t>Watch</t>
        </is>
      </c>
      <c r="O9" s="11" t="inlineStr">
        <is>
          <t>Below cost basis — Weiss buy zone candidate</t>
        </is>
      </c>
    </row>
    <row r="10" ht="18" customHeight="1">
      <c r="A10" s="11" t="inlineStr">
        <is>
          <t>UPS</t>
        </is>
      </c>
      <c r="B10" s="11" t="inlineStr">
        <is>
          <t>Taxable Brokerage</t>
        </is>
      </c>
      <c r="C10" s="31" t="n">
        <v>10</v>
      </c>
      <c r="D10" s="13" t="n">
        <v>99.53</v>
      </c>
      <c r="E10" s="35" t="n">
        <v>98.93000000000001</v>
      </c>
      <c r="F10" s="18">
        <f>C10*D10</f>
        <v/>
      </c>
      <c r="G10" s="18">
        <f>C10*E10</f>
        <v/>
      </c>
      <c r="H10" s="19">
        <f>G10-F10</f>
        <v/>
      </c>
      <c r="I10" s="20">
        <f>IF(F10=0,"-",(G10-F10)/F10)</f>
        <v/>
      </c>
      <c r="J10" s="32" t="n">
        <v>7.37</v>
      </c>
      <c r="K10" s="21">
        <f>IF(E10=0,"-",J10/E10)</f>
        <v/>
      </c>
      <c r="L10" s="18">
        <f>C10*J10</f>
        <v/>
      </c>
      <c r="M10" s="11" t="inlineStr">
        <is>
          <t>Dividend income</t>
        </is>
      </c>
      <c r="N10" s="11" t="inlineStr">
        <is>
          <t>Watch</t>
        </is>
      </c>
      <c r="O10" s="11" t="inlineStr">
        <is>
          <t>High yield — monitor earnings recovery</t>
        </is>
      </c>
    </row>
    <row r="11" ht="18" customHeight="1">
      <c r="A11" s="11" t="inlineStr">
        <is>
          <t>CASH</t>
        </is>
      </c>
      <c r="B11" s="11" t="inlineStr">
        <is>
          <t>Taxable Brokerage</t>
        </is>
      </c>
      <c r="C11" s="31" t="n">
        <v>9000</v>
      </c>
      <c r="D11" s="13" t="n">
        <v>9000</v>
      </c>
      <c r="E11" s="13" t="n">
        <v>1</v>
      </c>
      <c r="F11" s="14">
        <f>C11*D11</f>
        <v/>
      </c>
      <c r="G11" s="14">
        <f>C11*E11</f>
        <v/>
      </c>
      <c r="H11" s="15">
        <f>G11-F11</f>
        <v/>
      </c>
      <c r="I11" s="16">
        <f>IF(F11=0,"-",(G11-F11)/F11)</f>
        <v/>
      </c>
      <c r="J11" s="32" t="n">
        <v>296.1</v>
      </c>
      <c r="K11" s="17">
        <f>IF(E11=0,"-",J11/E11)</f>
        <v/>
      </c>
      <c r="L11" s="14">
        <f>C11*J11</f>
        <v/>
      </c>
      <c r="M11" s="11" t="inlineStr">
        <is>
          <t>Uninvested — deploy</t>
        </is>
      </c>
      <c r="N11" s="11" t="inlineStr">
        <is>
          <t>Watch</t>
        </is>
      </c>
      <c r="O11" s="11" t="inlineStr">
        <is>
          <t>$9,000 cash to invest — use roundtable to evaluate</t>
        </is>
      </c>
    </row>
    <row r="12" ht="20" customHeight="1">
      <c r="A12" s="22" t="inlineStr">
        <is>
          <t>TOTALS</t>
        </is>
      </c>
      <c r="B12" s="33" t="n"/>
      <c r="C12" s="33" t="n"/>
      <c r="D12" s="33" t="n"/>
      <c r="E12" s="8" t="n"/>
      <c r="F12" s="23">
        <f>SUM(F5:F11)</f>
        <v/>
      </c>
      <c r="G12" s="23">
        <f>SUM(G5:G11)</f>
        <v/>
      </c>
      <c r="H12" s="24">
        <f>SUM(H5:H11)</f>
        <v/>
      </c>
      <c r="I12" s="25">
        <f>IF(F12=0,"-",H12/F12)</f>
        <v/>
      </c>
      <c r="J12" s="26" t="n"/>
      <c r="K12" s="26" t="n"/>
      <c r="L12" s="23">
        <f>SUM(L5:L11)</f>
        <v/>
      </c>
      <c r="M12" s="26" t="n"/>
      <c r="N12" s="26" t="n"/>
      <c r="O12" s="26" t="n"/>
    </row>
  </sheetData>
  <mergeCells count="1"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8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2" customWidth="1" min="11" max="11"/>
    <col width="36" customWidth="1" min="12" max="12"/>
  </cols>
  <sheetData>
    <row r="1" ht="36" customHeight="1">
      <c r="A1" s="1" t="inlineStr">
        <is>
          <t>💼  WATCHLIST — STOCKS UNDER CONSIDERATION</t>
        </is>
      </c>
    </row>
    <row r="2" ht="14" customHeight="1"/>
    <row r="3" ht="18" customHeight="1">
      <c r="A3" s="10" t="inlineStr">
        <is>
          <t xml:space="preserve">  Weiss Signal = BUY when current yield ≥ historical high yield | SELL when current yield ≤ historical low yield</t>
        </is>
      </c>
    </row>
    <row r="4" ht="22" customHeight="1">
      <c r="A4" s="3" t="inlineStr">
        <is>
          <t>Ticker</t>
        </is>
      </c>
      <c r="B4" s="3" t="inlineStr">
        <is>
          <t>Company Name</t>
        </is>
      </c>
      <c r="C4" s="3" t="inlineStr">
        <is>
          <t>Why Watching</t>
        </is>
      </c>
      <c r="D4" s="3" t="inlineStr">
        <is>
          <t>Target Buy Price</t>
        </is>
      </c>
      <c r="E4" s="3" t="inlineStr">
        <is>
          <t>Current Price</t>
        </is>
      </c>
      <c r="F4" s="3" t="inlineStr">
        <is>
          <t>Current Yield %</t>
        </is>
      </c>
      <c r="G4" s="3" t="inlineStr">
        <is>
          <t>Weiss Buy Yield %</t>
        </is>
      </c>
      <c r="H4" s="3" t="inlineStr">
        <is>
          <t>Weiss Sell Yield %</t>
        </is>
      </c>
      <c r="I4" s="3" t="inlineStr">
        <is>
          <t>Weiss Signal</t>
        </is>
      </c>
      <c r="J4" s="3" t="inlineStr">
        <is>
          <t>Lynch PEG Est.</t>
        </is>
      </c>
      <c r="K4" s="3" t="inlineStr">
        <is>
          <t>Priority</t>
        </is>
      </c>
      <c r="L4" s="3" t="inlineStr">
        <is>
          <t>Notes</t>
        </is>
      </c>
    </row>
    <row r="5" ht="18" customHeight="1">
      <c r="A5" s="11" t="inlineStr">
        <is>
          <t>JNJ</t>
        </is>
      </c>
      <c r="B5" s="11" t="inlineStr">
        <is>
          <t>Johnson &amp; Johnson</t>
        </is>
      </c>
      <c r="C5" s="11" t="inlineStr">
        <is>
          <t>Weiss blue chip — monitor yield</t>
        </is>
      </c>
      <c r="D5" s="13" t="n">
        <v>155</v>
      </c>
      <c r="E5" s="13" t="n">
        <v>158</v>
      </c>
      <c r="F5" s="27" t="n">
        <v>0.032</v>
      </c>
      <c r="G5" s="27" t="n">
        <v>3.5</v>
      </c>
      <c r="H5" s="27" t="n">
        <v>2.2</v>
      </c>
      <c r="I5" s="28">
        <f>IF(F5&gt;=G5,"✅ BUY",IF(F5&lt;=H5,"🔴 SELL","— WATCH"))</f>
        <v/>
      </c>
      <c r="J5" s="29" t="n">
        <v>1.8</v>
      </c>
      <c r="K5" s="11" t="inlineStr">
        <is>
          <t>High</t>
        </is>
      </c>
      <c r="L5" s="11" t="inlineStr">
        <is>
          <t>Dividend King — 60+ years consecutive raises</t>
        </is>
      </c>
    </row>
    <row r="6" ht="18" customHeight="1">
      <c r="A6" s="11" t="inlineStr">
        <is>
          <t>PG</t>
        </is>
      </c>
      <c r="B6" s="11" t="inlineStr">
        <is>
          <t>Procter &amp; Gamble</t>
        </is>
      </c>
      <c r="C6" s="11" t="inlineStr">
        <is>
          <t>Buffett moat + Weiss dividend track</t>
        </is>
      </c>
      <c r="D6" s="13" t="n">
        <v>160</v>
      </c>
      <c r="E6" s="13" t="n">
        <v>165</v>
      </c>
      <c r="F6" s="27" t="n">
        <v>0.024</v>
      </c>
      <c r="G6" s="27" t="n">
        <v>2.8</v>
      </c>
      <c r="H6" s="27" t="n">
        <v>1.8</v>
      </c>
      <c r="I6" s="30">
        <f>IF(F6&gt;=G6,"✅ BUY",IF(F6&lt;=H6,"🔴 SELL","— WATCH"))</f>
        <v/>
      </c>
      <c r="J6" s="29" t="n">
        <v>2.5</v>
      </c>
      <c r="K6" s="11" t="inlineStr">
        <is>
          <t>Medium</t>
        </is>
      </c>
      <c r="L6" s="11" t="inlineStr">
        <is>
          <t>Consumer staples moat — near Weiss sell zone</t>
        </is>
      </c>
    </row>
    <row r="7" ht="18" customHeight="1">
      <c r="A7" s="11" t="inlineStr">
        <is>
          <t>VZ</t>
        </is>
      </c>
      <c r="B7" s="11" t="inlineStr">
        <is>
          <t>Verizon</t>
        </is>
      </c>
      <c r="C7" s="11" t="inlineStr">
        <is>
          <t>High yield — check dividend safety</t>
        </is>
      </c>
      <c r="D7" s="13" t="n">
        <v>40</v>
      </c>
      <c r="E7" s="13" t="n">
        <v>41</v>
      </c>
      <c r="F7" s="27" t="n">
        <v>0.065</v>
      </c>
      <c r="G7" s="27" t="n">
        <v>6.8</v>
      </c>
      <c r="H7" s="27" t="n">
        <v>4.2</v>
      </c>
      <c r="I7" s="28">
        <f>IF(F7&gt;=G7,"✅ BUY",IF(F7&lt;=H7,"🔴 SELL","— WATCH"))</f>
        <v/>
      </c>
      <c r="J7" s="29" t="n">
        <v>1.2</v>
      </c>
      <c r="K7" s="11" t="inlineStr">
        <is>
          <t>High</t>
        </is>
      </c>
      <c r="L7" s="11" t="inlineStr">
        <is>
          <t>Verify payout ratio before buying</t>
        </is>
      </c>
    </row>
  </sheetData>
  <mergeCells count="2">
    <mergeCell ref="A3:L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2026-04-04T02:55:46Z</dcterms:created>
  <dcterms:modified xsi:type="dcterms:W3CDTF">2026-05-17T16:53:45Z</dcterms:modified>
</cp:coreProperties>
</file>